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24226" filterPrivacy="true"/>
  <bookViews>
    <workbookView firstSheet="1" activeTab="1"/>
  </bookViews>
  <sheets>
    <sheet name="Datos" sheetId="1" r:id="rId1" state="hidden"/>
    <sheet name="Parte A. &quot;Inv. al 100%&quot;" sheetId="2" r:id="rId2"/>
    <sheet name="Parte B. &quot;Infor Aprov. y Man.&quot;" sheetId="3" r:id="rId3"/>
  </sheets>
  <definedNames>
    <definedName name="_xlnm.Print_Area" localSheetId="2">'Parte B. "Infor Aprov. y Man."'!$A$1:$AK$108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_(* #,##0_);_(* \(#,##0\);_(* &quot;-&quot;_);_(@_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(&quot;$&quot;\ * #,##0_);_(&quot;$&quot;\ * \(#,##0\);_(&quot;$&quot;\ * &quot;-&quot;??_);_(@_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4"/>
  <sheetViews>
    <sheetView workbookViewId="0" rightToLeft="0"/>
  </sheetViews>
  <sheetData>
    <row r="1">
      <c r="A1" t="str">
        <v>P1</v>
      </c>
    </row>
    <row r="2">
      <c r="A2" t="str">
        <v>P2</v>
      </c>
    </row>
    <row r="3">
      <c r="A3" t="str">
        <v>P3</v>
      </c>
    </row>
    <row r="4">
      <c r="A4" t="str">
        <v>P4</v>
      </c>
    </row>
    <row r="5">
      <c r="A5" t="str">
        <v>P5</v>
      </c>
    </row>
    <row r="6">
      <c r="A6" t="str">
        <v>P6</v>
      </c>
    </row>
    <row r="7">
      <c r="A7" t="str">
        <v>P7</v>
      </c>
    </row>
    <row r="8">
      <c r="A8" t="str">
        <v>P8</v>
      </c>
    </row>
    <row r="9">
      <c r="A9" t="str">
        <v>L 1</v>
      </c>
    </row>
    <row r="10">
      <c r="A10" t="str">
        <v>L 2</v>
      </c>
    </row>
    <row r="11">
      <c r="A11" t="str">
        <v>V1</v>
      </c>
    </row>
    <row r="12">
      <c r="A12" t="str">
        <v>V2</v>
      </c>
    </row>
    <row r="13">
      <c r="A13" t="str">
        <v>V3</v>
      </c>
    </row>
    <row r="14">
      <c r="A14" t="str">
        <v>V4</v>
      </c>
    </row>
  </sheetData>
  <pageMargins left="0.7" right="0.7" top="0.75" bottom="0.75" header="0.3" footer="0.3"/>
  <ignoredErrors>
    <ignoredError numberStoredAsText="1" sqref="A1:A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R119"/>
  <sheetViews>
    <sheetView workbookViewId="0" rightToLeft="0"/>
  </sheetViews>
  <sheetData>
    <row r="1">
      <c r="H1" t="str">
        <v>CORPORACIÓN AUTÓNOMA REGIONAL DE BOYACÁ</v>
      </c>
      <c r="W1" t="str">
        <v>AUTORIDAD AMBIENTAL</v>
      </c>
    </row>
    <row r="2">
      <c r="W2" t="str">
        <v>FORMATO DE REGISTRO</v>
      </c>
    </row>
    <row r="3">
      <c r="H3" t="str">
        <v>SISTEMA INTEGRADO GESTIÓN DE LA CALIDAD</v>
      </c>
      <c r="W3" t="str">
        <v>FGR-06</v>
      </c>
      <c r="AD3" t="str">
        <v>Página 1 de 1</v>
      </c>
    </row>
    <row r="4">
      <c r="W4" t="str">
        <v>Versión 7</v>
      </c>
      <c r="AD4">
        <v>45166</v>
      </c>
    </row>
    <row r="5">
      <c r="H5" t="str">
        <v>REGISTRO DE INFORMACION PARA APROVECHAMIENTO DE ARBOLES AISLADOS</v>
      </c>
    </row>
    <row r="6">
      <c r="H6" t="str">
        <v>Parte A. Inventario Forestal al 100%</v>
      </c>
    </row>
    <row r="8" xml:space="preserve">
      <c r="A8" t="str" xml:space="preserve">
        <v xml:space="preserve">N° DE_x000d_
ÁRBOLES</v>
      </c>
      <c r="C8" t="str">
        <v>NOMBRE COMÚN</v>
      </c>
      <c r="L8" t="str">
        <v>DAP  (cm)</v>
      </c>
      <c r="O8" t="str">
        <v>ALTO TOTAL</v>
      </c>
      <c r="Q8" t="str">
        <v>VOLUMEN (m³)</v>
      </c>
      <c r="T8" t="str">
        <v>GEORREFERENCIA (COORDENADAS GEOGRÁFICAS)</v>
      </c>
    </row>
    <row r="9">
      <c r="T9" t="str">
        <v>LATITUD</v>
      </c>
      <c r="AC9" t="str">
        <v>LONGITUD</v>
      </c>
    </row>
    <row r="10">
      <c r="T10" t="str">
        <v>Grados</v>
      </c>
      <c r="W10" t="str">
        <v>Min</v>
      </c>
      <c r="Z10" t="str">
        <v>Seg</v>
      </c>
      <c r="AC10" t="str">
        <v>Grados</v>
      </c>
      <c r="AF10" t="str">
        <v>Min</v>
      </c>
      <c r="AI10" t="str">
        <v>Seg</v>
      </c>
    </row>
    <row r="11">
      <c r="Q11">
        <f>PI()/4*(POWER(L11/100,2))*O11*A11*0.6</f>
        <v>0</v>
      </c>
    </row>
    <row r="12">
      <c r="Q12">
        <f>PI()/4*(POWER(L12/100,2))*O12*A12*0.6</f>
        <v>0</v>
      </c>
    </row>
    <row r="13">
      <c r="Q13">
        <f>PI()/4*(POWER(L13/100,2))*O13*A13*0.6</f>
        <v>0</v>
      </c>
    </row>
    <row r="14">
      <c r="Q14">
        <f>PI()/4*(POWER(L14/100,2))*O14*A14*0.6</f>
        <v>0</v>
      </c>
    </row>
    <row r="15">
      <c r="Q15">
        <f>PI()/4*(POWER(L15/100,2))*O15*A15*0.6</f>
        <v>0</v>
      </c>
    </row>
    <row r="16">
      <c r="Q16">
        <f>PI()/4*(POWER(L16/100,2))*O16*A16*0.6</f>
        <v>0</v>
      </c>
    </row>
    <row r="17">
      <c r="Q17">
        <f>PI()/4*(POWER(L17/100,2))*O17*A17*0.6</f>
        <v>0</v>
      </c>
    </row>
    <row r="18">
      <c r="Q18">
        <f>PI()/4*(POWER(L18/100,2))*O18*A18*0.6</f>
        <v>0</v>
      </c>
    </row>
    <row r="19">
      <c r="Q19">
        <f>PI()/4*(POWER(L19/100,2))*O19*A19*0.6</f>
        <v>0</v>
      </c>
    </row>
    <row r="20">
      <c r="Q20">
        <f>PI()/4*(POWER(L20/100,2))*O20*A20*0.6</f>
        <v>0</v>
      </c>
    </row>
    <row r="21">
      <c r="Q21">
        <f>PI()/4*(POWER(L21/100,2))*O21*A21*0.6</f>
        <v>0</v>
      </c>
    </row>
    <row r="22">
      <c r="Q22">
        <f>PI()/4*(POWER(L22/100,2))*O22*A22*0.6</f>
        <v>0</v>
      </c>
    </row>
    <row r="23">
      <c r="Q23">
        <f>PI()/4*(POWER(L23/100,2))*O23*A23*0.6</f>
        <v>0</v>
      </c>
    </row>
    <row r="24">
      <c r="Q24">
        <f>PI()/4*(POWER(L24/100,2))*O24*A24*0.6</f>
        <v>0</v>
      </c>
    </row>
    <row r="25">
      <c r="Q25">
        <f>PI()/4*(POWER(L25/100,2))*O25*A25*0.6</f>
        <v>0</v>
      </c>
    </row>
    <row r="26">
      <c r="Q26">
        <f>PI()/4*(POWER(L26/100,2))*O26*A26*0.6</f>
        <v>0</v>
      </c>
    </row>
    <row r="27">
      <c r="Q27">
        <f>PI()/4*(POWER(L27/100,2))*O27*A27*0.6</f>
        <v>0</v>
      </c>
    </row>
    <row r="28">
      <c r="Q28">
        <f>PI()/4*(POWER(L28/100,2))*O28*A28*0.6</f>
        <v>0</v>
      </c>
    </row>
    <row r="29">
      <c r="Q29">
        <f>PI()/4*(POWER(L29/100,2))*O29*A29*0.6</f>
        <v>0</v>
      </c>
    </row>
    <row r="30">
      <c r="Q30">
        <f>PI()/4*(POWER(L30/100,2))*O30*A30*0.6</f>
        <v>0</v>
      </c>
    </row>
    <row r="31">
      <c r="Q31">
        <f>PI()/4*(POWER(L31/100,2))*O31*A31*0.6</f>
        <v>0</v>
      </c>
    </row>
    <row r="32">
      <c r="Q32">
        <f>PI()/4*(POWER(L32/100,2))*O32*A32*0.6</f>
        <v>0</v>
      </c>
    </row>
    <row r="33">
      <c r="Q33">
        <f>PI()/4*(POWER(L33/100,2))*O33*A33*0.6</f>
        <v>0</v>
      </c>
    </row>
    <row r="34">
      <c r="Q34">
        <f>PI()/4*(POWER(L34/100,2))*O34*A34*0.6</f>
        <v>0</v>
      </c>
    </row>
    <row r="35">
      <c r="Q35">
        <f>PI()/4*(POWER(L35/100,2))*O35*A35*0.6</f>
        <v>0</v>
      </c>
    </row>
    <row r="36">
      <c r="Q36">
        <f>PI()/4*(POWER(L36/100,2))*O36*A36*0.6</f>
        <v>0</v>
      </c>
    </row>
    <row r="37">
      <c r="Q37">
        <f>PI()/4*(POWER(L37/100,2))*O37*A37*0.6</f>
        <v>0</v>
      </c>
    </row>
    <row r="38">
      <c r="Q38">
        <f>PI()/4*(POWER(L38/100,2))*O38*A38*0.6</f>
        <v>0</v>
      </c>
    </row>
    <row r="39">
      <c r="Q39">
        <f>PI()/4*(POWER(L39/100,2))*O39*A39*0.6</f>
        <v>0</v>
      </c>
    </row>
    <row r="40">
      <c r="Q40">
        <f>PI()/4*(POWER(L40/100,2))*O40*A40*0.6</f>
        <v>0</v>
      </c>
    </row>
    <row r="41">
      <c r="Q41">
        <f>PI()/4*(POWER(L41/100,2))*O41*A41*0.6</f>
        <v>0</v>
      </c>
    </row>
    <row r="42">
      <c r="Q42">
        <f>PI()/4*(POWER(L42/100,2))*O42*A42*0.6</f>
        <v>0</v>
      </c>
    </row>
    <row r="43">
      <c r="Q43">
        <f>PI()/4*(POWER(L43/100,2))*O43*A43*0.6</f>
        <v>0</v>
      </c>
    </row>
    <row r="44">
      <c r="Q44">
        <f>PI()/4*(POWER(L44/100,2))*O44*A44*0.6</f>
        <v>0</v>
      </c>
    </row>
    <row r="45">
      <c r="A45">
        <f>SUM(A11:B44)</f>
        <v>0</v>
      </c>
      <c r="C45" t="str">
        <v>TOTAL</v>
      </c>
      <c r="Q45">
        <f>SUM(Q11:S44)</f>
        <v>0</v>
      </c>
    </row>
    <row r="46">
      <c r="A46" t="str">
        <v>Imprimir en tamaño 8.5x13</v>
      </c>
    </row>
  </sheetData>
  <mergeCells count="405">
    <mergeCell ref="A42:B42"/>
    <mergeCell ref="C42:K42"/>
    <mergeCell ref="L42:N42"/>
    <mergeCell ref="O42:P42"/>
    <mergeCell ref="Q42:S42"/>
    <mergeCell ref="T42:V42"/>
    <mergeCell ref="W42:Y42"/>
    <mergeCell ref="Z42:AB42"/>
    <mergeCell ref="AC42:AE42"/>
    <mergeCell ref="AF37:AH37"/>
    <mergeCell ref="AI37:AK37"/>
    <mergeCell ref="A38:B38"/>
    <mergeCell ref="C38:K38"/>
    <mergeCell ref="L38:N38"/>
    <mergeCell ref="O38:P38"/>
    <mergeCell ref="Q38:S38"/>
    <mergeCell ref="T38:V38"/>
    <mergeCell ref="W38:Y38"/>
    <mergeCell ref="Z38:AB38"/>
    <mergeCell ref="AC38:AE38"/>
    <mergeCell ref="AF38:AH38"/>
    <mergeCell ref="AI38:AK38"/>
    <mergeCell ref="A37:B37"/>
    <mergeCell ref="C37:K37"/>
    <mergeCell ref="L37:N37"/>
    <mergeCell ref="O37:P37"/>
    <mergeCell ref="Q37:S37"/>
    <mergeCell ref="T37:V37"/>
    <mergeCell ref="W37:Y37"/>
    <mergeCell ref="Z37:AB37"/>
    <mergeCell ref="AC37:AE37"/>
    <mergeCell ref="AF35:AH35"/>
    <mergeCell ref="AI35:AK35"/>
    <mergeCell ref="A36:B36"/>
    <mergeCell ref="C36:K36"/>
    <mergeCell ref="L36:N36"/>
    <mergeCell ref="O36:P36"/>
    <mergeCell ref="Q36:S36"/>
    <mergeCell ref="T36:V36"/>
    <mergeCell ref="W36:Y36"/>
    <mergeCell ref="Z36:AB36"/>
    <mergeCell ref="AC36:AE36"/>
    <mergeCell ref="AF36:AH36"/>
    <mergeCell ref="AI36:AK36"/>
    <mergeCell ref="A35:B35"/>
    <mergeCell ref="C35:K35"/>
    <mergeCell ref="L35:N35"/>
    <mergeCell ref="O35:P35"/>
    <mergeCell ref="Q35:S35"/>
    <mergeCell ref="T35:V35"/>
    <mergeCell ref="W35:Y35"/>
    <mergeCell ref="Z35:AB35"/>
    <mergeCell ref="AC35:AE35"/>
    <mergeCell ref="A1:G6"/>
    <mergeCell ref="H1:V2"/>
    <mergeCell ref="W1:AK1"/>
    <mergeCell ref="W2:AK2"/>
    <mergeCell ref="H3:V4"/>
    <mergeCell ref="W3:AC3"/>
    <mergeCell ref="AD3:AK3"/>
    <mergeCell ref="W4:AC4"/>
    <mergeCell ref="AD4:AK4"/>
    <mergeCell ref="H6:AK6"/>
    <mergeCell ref="H5:AK5"/>
    <mergeCell ref="T40:V40"/>
    <mergeCell ref="AF41:AH41"/>
    <mergeCell ref="AI41:AK41"/>
    <mergeCell ref="AF42:AH42"/>
    <mergeCell ref="AI42:AK42"/>
    <mergeCell ref="AI44:AK44"/>
    <mergeCell ref="T44:V44"/>
    <mergeCell ref="A44:B44"/>
    <mergeCell ref="C44:K44"/>
    <mergeCell ref="L44:N44"/>
    <mergeCell ref="O44:P44"/>
    <mergeCell ref="Q44:S44"/>
    <mergeCell ref="W44:Y44"/>
    <mergeCell ref="Z44:AB44"/>
    <mergeCell ref="AC44:AE44"/>
    <mergeCell ref="AF44:AH44"/>
    <mergeCell ref="A41:B41"/>
    <mergeCell ref="C41:K41"/>
    <mergeCell ref="L41:N41"/>
    <mergeCell ref="O41:P41"/>
    <mergeCell ref="Q41:S41"/>
    <mergeCell ref="T41:V41"/>
    <mergeCell ref="W41:Y41"/>
    <mergeCell ref="Z41:AB41"/>
    <mergeCell ref="W43:Y43"/>
    <mergeCell ref="Z43:AB43"/>
    <mergeCell ref="AC43:AE43"/>
    <mergeCell ref="AF43:AH43"/>
    <mergeCell ref="AI43:AK43"/>
    <mergeCell ref="W40:Y40"/>
    <mergeCell ref="Z40:AB40"/>
    <mergeCell ref="AC40:AE40"/>
    <mergeCell ref="AF40:AH40"/>
    <mergeCell ref="AI40:AK40"/>
    <mergeCell ref="AC41:AE41"/>
    <mergeCell ref="AF39:AH39"/>
    <mergeCell ref="AI39:AK39"/>
    <mergeCell ref="A45:B45"/>
    <mergeCell ref="T45:AK45"/>
    <mergeCell ref="A43:B43"/>
    <mergeCell ref="C43:K43"/>
    <mergeCell ref="L43:N43"/>
    <mergeCell ref="O43:P43"/>
    <mergeCell ref="Q43:S43"/>
    <mergeCell ref="A40:B40"/>
    <mergeCell ref="C40:K40"/>
    <mergeCell ref="L40:N40"/>
    <mergeCell ref="A39:B39"/>
    <mergeCell ref="C39:K39"/>
    <mergeCell ref="L39:N39"/>
    <mergeCell ref="O39:P39"/>
    <mergeCell ref="Q39:S39"/>
    <mergeCell ref="T39:V39"/>
    <mergeCell ref="W39:Y39"/>
    <mergeCell ref="Z39:AB39"/>
    <mergeCell ref="AC39:AE39"/>
    <mergeCell ref="O40:P40"/>
    <mergeCell ref="Q40:S40"/>
    <mergeCell ref="T43:V43"/>
    <mergeCell ref="T34:V34"/>
    <mergeCell ref="W34:Y34"/>
    <mergeCell ref="Z34:AB34"/>
    <mergeCell ref="AC34:AE34"/>
    <mergeCell ref="AF34:AH34"/>
    <mergeCell ref="AI34:AK34"/>
    <mergeCell ref="W33:Y33"/>
    <mergeCell ref="Z33:AB33"/>
    <mergeCell ref="AC33:AE33"/>
    <mergeCell ref="AF33:AH33"/>
    <mergeCell ref="AI33:AK33"/>
    <mergeCell ref="T33:V33"/>
    <mergeCell ref="A34:B34"/>
    <mergeCell ref="C34:K34"/>
    <mergeCell ref="L34:N34"/>
    <mergeCell ref="O34:P34"/>
    <mergeCell ref="Q34:S34"/>
    <mergeCell ref="A33:B33"/>
    <mergeCell ref="C33:K33"/>
    <mergeCell ref="L33:N33"/>
    <mergeCell ref="O33:P33"/>
    <mergeCell ref="Q33:S33"/>
    <mergeCell ref="T32:V32"/>
    <mergeCell ref="W32:Y32"/>
    <mergeCell ref="Z32:AB32"/>
    <mergeCell ref="AC32:AE32"/>
    <mergeCell ref="AF32:AH32"/>
    <mergeCell ref="AI32:AK32"/>
    <mergeCell ref="W31:Y31"/>
    <mergeCell ref="Z31:AB31"/>
    <mergeCell ref="AC31:AE31"/>
    <mergeCell ref="AF31:AH31"/>
    <mergeCell ref="AI31:AK31"/>
    <mergeCell ref="T31:V31"/>
    <mergeCell ref="A32:B32"/>
    <mergeCell ref="C32:K32"/>
    <mergeCell ref="L32:N32"/>
    <mergeCell ref="O32:P32"/>
    <mergeCell ref="Q32:S32"/>
    <mergeCell ref="A31:B31"/>
    <mergeCell ref="C31:K31"/>
    <mergeCell ref="L31:N31"/>
    <mergeCell ref="O31:P31"/>
    <mergeCell ref="Q31:S31"/>
    <mergeCell ref="T30:V30"/>
    <mergeCell ref="W30:Y30"/>
    <mergeCell ref="Z30:AB30"/>
    <mergeCell ref="AC30:AE30"/>
    <mergeCell ref="AF30:AH30"/>
    <mergeCell ref="AI30:AK30"/>
    <mergeCell ref="W29:Y29"/>
    <mergeCell ref="Z29:AB29"/>
    <mergeCell ref="AC29:AE29"/>
    <mergeCell ref="AF29:AH29"/>
    <mergeCell ref="AI29:AK29"/>
    <mergeCell ref="T29:V29"/>
    <mergeCell ref="A30:B30"/>
    <mergeCell ref="C30:K30"/>
    <mergeCell ref="L30:N30"/>
    <mergeCell ref="O30:P30"/>
    <mergeCell ref="Q30:S30"/>
    <mergeCell ref="A29:B29"/>
    <mergeCell ref="C29:K29"/>
    <mergeCell ref="L29:N29"/>
    <mergeCell ref="O29:P29"/>
    <mergeCell ref="Q29:S29"/>
    <mergeCell ref="T28:V28"/>
    <mergeCell ref="W28:Y28"/>
    <mergeCell ref="Z28:AB28"/>
    <mergeCell ref="AC28:AE28"/>
    <mergeCell ref="AF28:AH28"/>
    <mergeCell ref="AI28:AK28"/>
    <mergeCell ref="W27:Y27"/>
    <mergeCell ref="Z27:AB27"/>
    <mergeCell ref="AC27:AE27"/>
    <mergeCell ref="AF27:AH27"/>
    <mergeCell ref="AI27:AK27"/>
    <mergeCell ref="T27:V27"/>
    <mergeCell ref="A28:B28"/>
    <mergeCell ref="C28:K28"/>
    <mergeCell ref="L28:N28"/>
    <mergeCell ref="O28:P28"/>
    <mergeCell ref="Q28:S28"/>
    <mergeCell ref="A27:B27"/>
    <mergeCell ref="C27:K27"/>
    <mergeCell ref="L27:N27"/>
    <mergeCell ref="O27:P27"/>
    <mergeCell ref="Q27:S27"/>
    <mergeCell ref="T26:V26"/>
    <mergeCell ref="W26:Y26"/>
    <mergeCell ref="Z26:AB26"/>
    <mergeCell ref="AC26:AE26"/>
    <mergeCell ref="AF26:AH26"/>
    <mergeCell ref="AI26:AK26"/>
    <mergeCell ref="W25:Y25"/>
    <mergeCell ref="Z25:AB25"/>
    <mergeCell ref="AC25:AE25"/>
    <mergeCell ref="AF25:AH25"/>
    <mergeCell ref="AI25:AK25"/>
    <mergeCell ref="T25:V25"/>
    <mergeCell ref="A26:B26"/>
    <mergeCell ref="C26:K26"/>
    <mergeCell ref="L26:N26"/>
    <mergeCell ref="O26:P26"/>
    <mergeCell ref="Q26:S26"/>
    <mergeCell ref="A25:B25"/>
    <mergeCell ref="C25:K25"/>
    <mergeCell ref="L25:N25"/>
    <mergeCell ref="O25:P25"/>
    <mergeCell ref="Q25:S25"/>
    <mergeCell ref="T24:V24"/>
    <mergeCell ref="W24:Y24"/>
    <mergeCell ref="Z24:AB24"/>
    <mergeCell ref="AC24:AE24"/>
    <mergeCell ref="AF24:AH24"/>
    <mergeCell ref="AI24:AK24"/>
    <mergeCell ref="W23:Y23"/>
    <mergeCell ref="Z23:AB23"/>
    <mergeCell ref="AC23:AE23"/>
    <mergeCell ref="AF23:AH23"/>
    <mergeCell ref="AI23:AK23"/>
    <mergeCell ref="T23:V23"/>
    <mergeCell ref="A24:B24"/>
    <mergeCell ref="C24:K24"/>
    <mergeCell ref="L24:N24"/>
    <mergeCell ref="O24:P24"/>
    <mergeCell ref="Q24:S24"/>
    <mergeCell ref="A23:B23"/>
    <mergeCell ref="C23:K23"/>
    <mergeCell ref="L23:N23"/>
    <mergeCell ref="O23:P23"/>
    <mergeCell ref="Q23:S23"/>
    <mergeCell ref="T22:V22"/>
    <mergeCell ref="W22:Y22"/>
    <mergeCell ref="Z22:AB22"/>
    <mergeCell ref="AC22:AE22"/>
    <mergeCell ref="AF22:AH22"/>
    <mergeCell ref="AI22:AK22"/>
    <mergeCell ref="W21:Y21"/>
    <mergeCell ref="Z21:AB21"/>
    <mergeCell ref="AC21:AE21"/>
    <mergeCell ref="AF21:AH21"/>
    <mergeCell ref="AI21:AK21"/>
    <mergeCell ref="T21:V21"/>
    <mergeCell ref="A22:B22"/>
    <mergeCell ref="C22:K22"/>
    <mergeCell ref="L22:N22"/>
    <mergeCell ref="O22:P22"/>
    <mergeCell ref="Q22:S22"/>
    <mergeCell ref="A21:B21"/>
    <mergeCell ref="C21:K21"/>
    <mergeCell ref="L21:N21"/>
    <mergeCell ref="O21:P21"/>
    <mergeCell ref="Q21:S21"/>
    <mergeCell ref="T20:V20"/>
    <mergeCell ref="W20:Y20"/>
    <mergeCell ref="Z20:AB20"/>
    <mergeCell ref="AC20:AE20"/>
    <mergeCell ref="AF20:AH20"/>
    <mergeCell ref="AI20:AK20"/>
    <mergeCell ref="W19:Y19"/>
    <mergeCell ref="Z19:AB19"/>
    <mergeCell ref="AC19:AE19"/>
    <mergeCell ref="AF19:AH19"/>
    <mergeCell ref="AI19:AK19"/>
    <mergeCell ref="T19:V19"/>
    <mergeCell ref="A20:B20"/>
    <mergeCell ref="C20:K20"/>
    <mergeCell ref="L20:N20"/>
    <mergeCell ref="O20:P20"/>
    <mergeCell ref="Q20:S20"/>
    <mergeCell ref="A19:B19"/>
    <mergeCell ref="C19:K19"/>
    <mergeCell ref="L19:N19"/>
    <mergeCell ref="O19:P19"/>
    <mergeCell ref="Q19:S19"/>
    <mergeCell ref="T18:V18"/>
    <mergeCell ref="W18:Y18"/>
    <mergeCell ref="Z18:AB18"/>
    <mergeCell ref="AC18:AE18"/>
    <mergeCell ref="AF18:AH18"/>
    <mergeCell ref="AI18:AK18"/>
    <mergeCell ref="W17:Y17"/>
    <mergeCell ref="Z17:AB17"/>
    <mergeCell ref="AC17:AE17"/>
    <mergeCell ref="AF17:AH17"/>
    <mergeCell ref="AI17:AK17"/>
    <mergeCell ref="T17:V17"/>
    <mergeCell ref="A18:B18"/>
    <mergeCell ref="C18:K18"/>
    <mergeCell ref="L18:N18"/>
    <mergeCell ref="O18:P18"/>
    <mergeCell ref="Q18:S18"/>
    <mergeCell ref="A17:B17"/>
    <mergeCell ref="C17:K17"/>
    <mergeCell ref="L17:N17"/>
    <mergeCell ref="O17:P17"/>
    <mergeCell ref="Q17:S17"/>
    <mergeCell ref="T16:V16"/>
    <mergeCell ref="W16:Y16"/>
    <mergeCell ref="Z16:AB16"/>
    <mergeCell ref="AC16:AE16"/>
    <mergeCell ref="AF16:AH16"/>
    <mergeCell ref="AI16:AK16"/>
    <mergeCell ref="W15:Y15"/>
    <mergeCell ref="Z15:AB15"/>
    <mergeCell ref="AC15:AE15"/>
    <mergeCell ref="AF15:AH15"/>
    <mergeCell ref="AI15:AK15"/>
    <mergeCell ref="T15:V15"/>
    <mergeCell ref="A16:B16"/>
    <mergeCell ref="C16:K16"/>
    <mergeCell ref="L16:N16"/>
    <mergeCell ref="O16:P16"/>
    <mergeCell ref="Q16:S16"/>
    <mergeCell ref="A15:B15"/>
    <mergeCell ref="C15:K15"/>
    <mergeCell ref="L15:N15"/>
    <mergeCell ref="O15:P15"/>
    <mergeCell ref="Q15:S15"/>
    <mergeCell ref="O13:P13"/>
    <mergeCell ref="Q13:S13"/>
    <mergeCell ref="T14:V14"/>
    <mergeCell ref="T13:V13"/>
    <mergeCell ref="W14:Y14"/>
    <mergeCell ref="Z14:AB14"/>
    <mergeCell ref="AC14:AE14"/>
    <mergeCell ref="AF14:AH14"/>
    <mergeCell ref="AI14:AK14"/>
    <mergeCell ref="W13:Y13"/>
    <mergeCell ref="Z13:AB13"/>
    <mergeCell ref="AC13:AE13"/>
    <mergeCell ref="AF13:AH13"/>
    <mergeCell ref="AI13:AK13"/>
    <mergeCell ref="A7:AK7"/>
    <mergeCell ref="A8:B10"/>
    <mergeCell ref="C8:K10"/>
    <mergeCell ref="L8:N10"/>
    <mergeCell ref="O8:P10"/>
    <mergeCell ref="Q8:S10"/>
    <mergeCell ref="T8:AK8"/>
    <mergeCell ref="T9:AB9"/>
    <mergeCell ref="C45:P45"/>
    <mergeCell ref="Q45:S45"/>
    <mergeCell ref="AF12:AH12"/>
    <mergeCell ref="AI12:AK12"/>
    <mergeCell ref="W11:Y11"/>
    <mergeCell ref="Z11:AB11"/>
    <mergeCell ref="AC11:AE11"/>
    <mergeCell ref="AF11:AH11"/>
    <mergeCell ref="AI11:AK11"/>
    <mergeCell ref="T11:V11"/>
    <mergeCell ref="A14:B14"/>
    <mergeCell ref="C14:K14"/>
    <mergeCell ref="L14:N14"/>
    <mergeCell ref="O14:P14"/>
    <mergeCell ref="Q14:S14"/>
    <mergeCell ref="A13:B13"/>
    <mergeCell ref="A46:AK46"/>
    <mergeCell ref="AC9:AK9"/>
    <mergeCell ref="T10:V10"/>
    <mergeCell ref="W10:Y10"/>
    <mergeCell ref="Z10:AB10"/>
    <mergeCell ref="AC10:AE10"/>
    <mergeCell ref="AF10:AH10"/>
    <mergeCell ref="AI10:AK10"/>
    <mergeCell ref="A12:B12"/>
    <mergeCell ref="C12:K12"/>
    <mergeCell ref="L12:N12"/>
    <mergeCell ref="O12:P12"/>
    <mergeCell ref="Q12:S12"/>
    <mergeCell ref="A11:B11"/>
    <mergeCell ref="C11:K11"/>
    <mergeCell ref="L11:N11"/>
    <mergeCell ref="O11:P11"/>
    <mergeCell ref="Q11:S11"/>
    <mergeCell ref="T12:V12"/>
    <mergeCell ref="W12:Y12"/>
    <mergeCell ref="Z12:AB12"/>
    <mergeCell ref="AC12:AE12"/>
    <mergeCell ref="C13:K13"/>
    <mergeCell ref="L13:N13"/>
  </mergeCells>
  <pageMargins left="0.5118110236220472" right="0.5118110236220472" top="0.7480314960629921" bottom="0.7480314960629921" header="0.31496062992125984" footer="0.31496062992125984"/>
  <ignoredErrors>
    <ignoredError numberStoredAsText="1" sqref="A1:BR1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S208"/>
  <sheetViews>
    <sheetView workbookViewId="0" rightToLeft="0"/>
  </sheetViews>
  <sheetData>
    <row r="1">
      <c r="H1" t="str">
        <v>CORPORACIÓN AUTÓNOMA REGIONAL DE BOYACÁ</v>
      </c>
      <c r="W1" t="str">
        <v>AUTORIDAD AMBIENTAL</v>
      </c>
    </row>
    <row r="2">
      <c r="W2" t="str">
        <v>FORMATO DE REGISTRO</v>
      </c>
    </row>
    <row r="3">
      <c r="H3" t="str">
        <v>SISTEMA INTEGRADO GESTIÓN DE LA CALIDAD</v>
      </c>
      <c r="W3" t="str">
        <v>FGR-06</v>
      </c>
      <c r="AD3" t="str">
        <v>Página 1 de 2</v>
      </c>
    </row>
    <row r="4">
      <c r="W4" t="str">
        <v>Versión 7</v>
      </c>
      <c r="AD4">
        <v>45166</v>
      </c>
    </row>
    <row r="5">
      <c r="H5" t="str">
        <v>REGISTRO DE INFORMACION PARA APROVECHAMIENTO DE ARBOLES AISLADOS</v>
      </c>
    </row>
    <row r="6">
      <c r="H6" t="str">
        <v>Parte B. Información técnica sobre el Aprovechamiento y Manejo de Árboles Aislados</v>
      </c>
    </row>
    <row r="7" xml:space="preserve">
      <c r="A7" t="str" xml:space="preserve">
        <v xml:space="preserve">El presente formato aplica para las solicitudes:_x000d_
a) De Especies Nativas con fines comerciales y volumen inferior a 50 m3._x000d_
b) Especies exóticas o Introducidas con fines comerciales.</v>
      </c>
    </row>
    <row r="9">
      <c r="A9" t="str">
        <v>1. SISTEMA O INFRAESTRUCTURA AL QUE ESTAN ASOCIADOS LOS ÁRBOLES AISLADOS</v>
      </c>
    </row>
    <row r="11">
      <c r="A11" t="str">
        <v>Arboles de Sombrio</v>
      </c>
      <c r="I11" t="str">
        <v>Cultivos misceláneos</v>
      </c>
      <c r="Q11" t="str">
        <v>Sist. Agrosilvopastoril</v>
      </c>
      <c r="Y11" t="str">
        <v>Rastrojo</v>
      </c>
      <c r="AD11" t="str">
        <v>Plantación Forestal</v>
      </c>
    </row>
    <row r="13">
      <c r="A13" t="str">
        <v>Cercas vivas</v>
      </c>
      <c r="G13" t="str">
        <v>Linderos</v>
      </c>
      <c r="K13" t="str">
        <v>Carreteras</v>
      </c>
      <c r="P13" t="str">
        <v>Vías Ferreas</v>
      </c>
      <c r="U13" t="str">
        <v>Canales</v>
      </c>
      <c r="Y13" t="str">
        <v>Tierras no cultivadas o abandonadas</v>
      </c>
    </row>
    <row r="15">
      <c r="A15" t="str">
        <v>2. CARACTERÍSTICAS BIOFÍSICAS DEL ÁREA A INTERVENIR</v>
      </c>
    </row>
    <row r="17">
      <c r="A17" t="str">
        <v xml:space="preserve">Altitud (m.s.n.m.) : </v>
      </c>
      <c r="B17" t="str">
        <v>2600</v>
      </c>
      <c r="L17" t="str">
        <v>TopografÍa:</v>
      </c>
      <c r="Q17" t="str">
        <v>ondulada</v>
      </c>
      <c r="V17" t="str">
        <v>Ondulada</v>
      </c>
      <c r="AB17" t="str">
        <v>Colina</v>
      </c>
      <c r="AG17" t="str">
        <v>Pendiente</v>
      </c>
    </row>
    <row r="19">
      <c r="A19" t="str">
        <v>Cuerpos de agua:</v>
      </c>
      <c r="G19" t="str">
        <v>si</v>
      </c>
      <c r="I19" t="str">
        <v>No</v>
      </c>
      <c r="K19" t="str">
        <v>Clase:</v>
      </c>
      <c r="L19" t="str">
        <v>Quebrada</v>
      </c>
      <c r="V19" t="str">
        <v>Nombre:</v>
      </c>
      <c r="Y19" t="str">
        <v>El Salitre</v>
      </c>
    </row>
    <row r="21">
      <c r="A21" t="str">
        <v>Coordenada F. Hídrica</v>
      </c>
      <c r="G21" t="str">
        <v>Latitud:</v>
      </c>
      <c r="J21" t="str">
        <v>Grados</v>
      </c>
      <c r="O21" t="str">
        <v>Min</v>
      </c>
      <c r="S21" t="str">
        <v>Seg</v>
      </c>
      <c r="W21" t="str">
        <v>Longitud:</v>
      </c>
      <c r="Z21" t="str">
        <v>Grados</v>
      </c>
      <c r="AD21" t="str">
        <v>Min</v>
      </c>
      <c r="AH21" t="str">
        <v>Seg</v>
      </c>
    </row>
    <row r="23">
      <c r="A23" t="str">
        <v>3. DISTRIBUCIÓN USO ACTUAL DEL SUELO DEL PREDIO (%) Digite el valor correspondiente en la casilla según aplique</v>
      </c>
    </row>
    <row r="25">
      <c r="A25" t="str">
        <v>Cultivos:</v>
      </c>
      <c r="B25" t="str">
        <v>2</v>
      </c>
      <c r="E25" t="str">
        <v>Rastrojo:</v>
      </c>
      <c r="F25" t="str">
        <v>0.5</v>
      </c>
      <c r="I25" t="str">
        <v>Pastos:</v>
      </c>
      <c r="J25" t="str">
        <v>3</v>
      </c>
      <c r="M25" t="str">
        <v>Protección Ambiental:</v>
      </c>
      <c r="N25" t="str">
        <v>1</v>
      </c>
      <c r="U25" t="str">
        <v>Bosque plantado:</v>
      </c>
      <c r="V25" t="str">
        <v>4</v>
      </c>
      <c r="AB25" t="str">
        <v>Industrial:</v>
      </c>
      <c r="AC25" t="str">
        <v>0</v>
      </c>
    </row>
    <row r="27">
      <c r="A27" t="str">
        <v>Otro:</v>
      </c>
      <c r="B27" t="str">
        <v>1</v>
      </c>
      <c r="U27" t="str">
        <v xml:space="preserve">Área total del Predio (Has): </v>
      </c>
      <c r="AC27" t="str">
        <v>12.5</v>
      </c>
    </row>
    <row r="29">
      <c r="A29" t="str">
        <v xml:space="preserve">Uso Principal del suelo según (POT - EOT MPAL):  </v>
      </c>
      <c r="B29" t="str">
        <v>Agropecuario</v>
      </c>
    </row>
    <row r="31">
      <c r="A31" t="str">
        <v>4. ASPECTOS TÉCNICOS DEL APROVECHAMIENTO</v>
      </c>
    </row>
    <row r="33">
      <c r="A33" t="str">
        <v>N°. Árboles</v>
      </c>
      <c r="E33" t="str">
        <v>Nombre común</v>
      </c>
      <c r="Q33" t="str">
        <v>Nombre técnico</v>
      </c>
      <c r="AH33" t="str">
        <v>Vol. (m3)</v>
      </c>
    </row>
    <row r="34">
      <c r="A34" t="str">
        <v>45</v>
      </c>
      <c r="B34" t="str">
        <v>Eucalipto</v>
      </c>
      <c r="C34" t="str">
        <v>Eucalyptus globulus</v>
      </c>
      <c r="D34" t="str">
        <v>18</v>
      </c>
    </row>
    <row r="35">
      <c r="A35" t="str">
        <v>5</v>
      </c>
      <c r="B35" t="str">
        <v>Acacia</v>
      </c>
      <c r="C35" t="str">
        <v>Acacia decurrens</v>
      </c>
      <c r="D35" t="str">
        <v>2</v>
      </c>
    </row>
    <row r="42">
      <c r="A42" t="str">
        <v xml:space="preserve">Área total de los árboles aislados (Has): </v>
      </c>
      <c r="R42" t="str">
        <v>Área de los árboles aislados a intervenir (Has):</v>
      </c>
    </row>
    <row r="44">
      <c r="A44" t="str">
        <v>VALOR COMERCIAL EN EL MERCADO MAS CERCANO DE LAS ESPECIES OBJETO DE APROVECHAMIENTO</v>
      </c>
    </row>
    <row r="45">
      <c r="A45" t="str">
        <v>NOMBRE COMÚN</v>
      </c>
      <c r="O45" t="str">
        <v>VOLUMEN MADERA  A APROVECHAR EN BRUTO (En Pie)</v>
      </c>
    </row>
    <row r="46">
      <c r="O46" t="str">
        <v xml:space="preserve"> (m3)</v>
      </c>
      <c r="R46" t="str">
        <v>Valor unitario ($ / m3)</v>
      </c>
      <c r="AB46" t="str">
        <v>Valor total</v>
      </c>
    </row>
    <row r="47">
      <c r="AB47">
        <f>O47*R47</f>
        <v>0</v>
      </c>
    </row>
    <row r="48">
      <c r="AB48">
        <f>O48*R48</f>
        <v>0</v>
      </c>
    </row>
    <row r="49">
      <c r="AB49">
        <f>O49*R49</f>
        <v>0</v>
      </c>
    </row>
    <row r="50">
      <c r="AB50">
        <f>O50*R50</f>
        <v>0</v>
      </c>
    </row>
    <row r="51">
      <c r="AB51">
        <f>O51*R51</f>
        <v>0</v>
      </c>
    </row>
    <row r="52">
      <c r="A52" t="str">
        <v>TOTAL</v>
      </c>
      <c r="O52">
        <f>SUM(O47:Q51)</f>
        <v>0</v>
      </c>
      <c r="AB52">
        <f>SUM(AB47:AK51)</f>
        <v>0</v>
      </c>
    </row>
    <row r="53">
      <c r="A53" t="str">
        <v xml:space="preserve">Observaciones: </v>
      </c>
      <c r="B53" t="str">
        <v>Predio con pendiente moderada.</v>
      </c>
    </row>
    <row r="56">
      <c r="A56" t="str">
        <v>VALOR MANO DE OBRA DEL APROVECHAMIENTO A REALIZAR</v>
      </c>
    </row>
    <row r="57" xml:space="preserve">
      <c r="A57" t="str">
        <v>ACTIVIDAD SILVÍCOLA</v>
      </c>
      <c r="O57" t="str" xml:space="preserve">
        <v xml:space="preserve">JORNALES _x000d_
(Un)</v>
      </c>
      <c r="S57" t="str">
        <v>VALOR JORNAL($)</v>
      </c>
      <c r="AB57" t="str">
        <v>VALOR TOTAL ($)</v>
      </c>
    </row>
    <row r="58">
      <c r="A58" t="str">
        <v>Auxiliar motosierra (Evaluación caída del fuste, descope, despate, despunte, tronzado y despeje de caminos)</v>
      </c>
      <c r="AB58">
        <f>O58*S58</f>
        <v>0</v>
      </c>
    </row>
    <row r="59">
      <c r="A59" t="str">
        <v>Motoserrista (Apeo, trozado y aserrado)</v>
      </c>
      <c r="AB59">
        <f>O59*S59</f>
        <v>0</v>
      </c>
    </row>
    <row r="60">
      <c r="A60" t="str">
        <v>TOTAL</v>
      </c>
      <c r="O60">
        <f>SUM(O58:R59)</f>
        <v>0</v>
      </c>
      <c r="AB60">
        <f>SUM(AB58:AK59)</f>
        <v>0</v>
      </c>
    </row>
    <row r="62">
      <c r="A62" t="str">
        <v>VALOR LABORES DE DESEMBOSQUE</v>
      </c>
    </row>
    <row r="63">
      <c r="A63" t="str">
        <v>SISTEMA</v>
      </c>
      <c r="I63" t="str">
        <v>JORNALES</v>
      </c>
      <c r="L63" t="str">
        <v>VALOR JORNAL ($)</v>
      </c>
      <c r="U63" t="str">
        <v>VALOR TOTAL ($)</v>
      </c>
      <c r="AD63" t="str">
        <v>OBSERVACIONES</v>
      </c>
    </row>
    <row r="64">
      <c r="A64" t="str">
        <v>Extracción manual</v>
      </c>
      <c r="U64">
        <f>I64*L64</f>
        <v>0</v>
      </c>
    </row>
    <row r="65">
      <c r="A65" t="str">
        <v>Con traccion animal</v>
      </c>
      <c r="U65">
        <f>I65*L65</f>
        <v>0</v>
      </c>
    </row>
    <row r="66">
      <c r="A66" t="str">
        <v>Con cable aéreo</v>
      </c>
      <c r="U66">
        <f>I66*L66</f>
        <v>0</v>
      </c>
    </row>
    <row r="67">
      <c r="A67" t="str">
        <v>Mecánico (Tractor)</v>
      </c>
      <c r="U67">
        <f>I67*L67</f>
        <v>0</v>
      </c>
    </row>
    <row r="68">
      <c r="A68" t="str">
        <v>Otro:</v>
      </c>
      <c r="U68">
        <f>I68*L68</f>
        <v>0</v>
      </c>
    </row>
    <row r="69">
      <c r="A69" t="str">
        <v>TOTAL</v>
      </c>
      <c r="U69">
        <f>SUM(U64:AC68)</f>
        <v>0</v>
      </c>
    </row>
    <row r="70">
      <c r="H70" t="str">
        <v>CORPORACIÓN AUTÓNOMA REGIONAL DE BOYACÁ</v>
      </c>
      <c r="W70" t="str">
        <v>AUTORIDAD AMBIENTAL</v>
      </c>
    </row>
    <row r="71">
      <c r="W71" t="str">
        <v>FORMATO DE REGISTRO</v>
      </c>
    </row>
    <row r="72">
      <c r="H72" t="str">
        <v>SISTEMA INTEGRADO GESTIÓN DE LA CALIDAD</v>
      </c>
      <c r="W72" t="str">
        <v>FGR-06</v>
      </c>
      <c r="AD72" t="str">
        <v>Página 2 de 2</v>
      </c>
    </row>
    <row r="73">
      <c r="W73" t="str">
        <v>Versión 7</v>
      </c>
      <c r="AD73">
        <v>45166</v>
      </c>
    </row>
    <row r="74">
      <c r="H74" t="str">
        <v>Parte B. Información técnica sobre el Aprovechamiento y Manejo de Árboles Aislados</v>
      </c>
    </row>
    <row r="76">
      <c r="A76" t="str">
        <v>VALOR MAQUINARIA E INSUMOS DE EXTRACCIÓN</v>
      </c>
    </row>
    <row r="77">
      <c r="A77" t="str">
        <v>Manual</v>
      </c>
      <c r="F77" t="str">
        <v>Cable</v>
      </c>
      <c r="J77" t="str">
        <v>Ganchos</v>
      </c>
      <c r="N77" t="str">
        <v>Malacate</v>
      </c>
      <c r="R77" t="str">
        <v>Garrucha</v>
      </c>
      <c r="V77" t="str">
        <v>Winche</v>
      </c>
      <c r="Z77" t="str">
        <v>Poleas</v>
      </c>
    </row>
    <row r="78">
      <c r="A78" t="str">
        <v>Con traccion animal:</v>
      </c>
      <c r="H78" t="str">
        <v>Bueyes</v>
      </c>
      <c r="N78" t="str">
        <v>Burros</v>
      </c>
      <c r="S78" t="str">
        <v>Caballos</v>
      </c>
      <c r="Y78" t="str">
        <v>Mulas</v>
      </c>
    </row>
    <row r="79">
      <c r="A79" t="str">
        <v>Con cable aéreo:</v>
      </c>
      <c r="F79" t="str">
        <v>Cable</v>
      </c>
      <c r="I79" t="str">
        <v>Cabrestante</v>
      </c>
      <c r="N79" t="str">
        <v>Carro portacarga</v>
      </c>
      <c r="U79" t="str">
        <v>Frenos</v>
      </c>
      <c r="X79" t="str">
        <v>Mastil - Torres</v>
      </c>
    </row>
    <row r="80">
      <c r="A80" t="str">
        <v>Mecánico:</v>
      </c>
      <c r="H80" t="str">
        <v>Cargador, grapa de arrastre, remolque, tractor neumático, Tractor Winche</v>
      </c>
    </row>
    <row r="81">
      <c r="A81" t="str">
        <v>Transformación de la madera con:</v>
      </c>
      <c r="L81" t="str">
        <v>Motosierra</v>
      </c>
      <c r="Q81" t="str">
        <v>Estacionaria</v>
      </c>
      <c r="V81" t="str">
        <v>Otro:</v>
      </c>
    </row>
    <row r="82">
      <c r="A82" t="str">
        <v>VALOR TOTAL</v>
      </c>
      <c r="AD82">
        <f>SUM(AD77:AK81)</f>
        <v>0</v>
      </c>
    </row>
    <row r="84">
      <c r="A84" t="str">
        <v>GEORREFERENCIA DE LOS PATIOS DE ACOPIO Y PUNTOS DE CARGUE</v>
      </c>
    </row>
    <row r="85">
      <c r="A85" t="str">
        <v>Pto. Acopio N°.</v>
      </c>
      <c r="E85" t="str">
        <v>LATITUD N</v>
      </c>
      <c r="L85" t="str">
        <v>LONGITUD W</v>
      </c>
      <c r="T85" t="str">
        <v>Pto. Cargue N°</v>
      </c>
      <c r="X85" t="str">
        <v>LATITUD N</v>
      </c>
      <c r="AE85" t="str">
        <v>LONGITUD W</v>
      </c>
    </row>
    <row r="90">
      <c r="A90" t="str">
        <v>Observaciones:</v>
      </c>
    </row>
    <row r="92">
      <c r="A92" t="str">
        <v>VALOR DEL TRANSPORTE DE LA MADERA AL CENTRO DE COMERCIALIZACIÓN</v>
      </c>
    </row>
    <row r="93">
      <c r="A93" t="str">
        <v>Cantidad m³:</v>
      </c>
      <c r="J93" t="str">
        <v>Valor por m³</v>
      </c>
      <c r="W93" t="str">
        <v>VALOR TOTAL</v>
      </c>
      <c r="AB93">
        <f>E93*N93</f>
        <v>0</v>
      </c>
    </row>
    <row r="95">
      <c r="A95" t="str">
        <v>5. RENOVABILIDAD DEL RECURSO FORESTAL</v>
      </c>
    </row>
    <row r="97">
      <c r="A97" t="str">
        <v xml:space="preserve">Indique el método a utilizar: </v>
      </c>
      <c r="J97" t="str">
        <v>Regeneración natural</v>
      </c>
      <c r="AD97" t="str">
        <v>Siembra de plantas</v>
      </c>
    </row>
    <row r="99">
      <c r="A99" t="str">
        <v>No. Plantas:</v>
      </c>
      <c r="E99" t="str">
        <v>100</v>
      </c>
      <c r="H99" t="str">
        <v xml:space="preserve">Especies: </v>
      </c>
      <c r="L99" t="str">
        <v>Eucalipto, Roble</v>
      </c>
    </row>
    <row r="101">
      <c r="A101" t="str">
        <v>Valor de la Actividad por árbol incluyendo limpieza, eliminación de árboles de sombrío, mejora de árboles promisorios, manejo de rebrotes, resiembra, entre otros y mantenimiento por 2 años.</v>
      </c>
      <c r="AF101">
        <v>8257</v>
      </c>
    </row>
    <row r="103">
      <c r="A103" t="str">
        <v>Valor total Actividad de Renobabilidad del Recurso Forestal:</v>
      </c>
      <c r="AF103">
        <f>E99*AF101</f>
        <v>0</v>
      </c>
    </row>
    <row r="104">
      <c r="A104" t="str">
        <v>6. COSTO TOTAL APROVECHAMIENTO</v>
      </c>
      <c r="Y104">
        <f>SUM(AB60+U69+AD82+AB93+AF103)</f>
        <v>0</v>
      </c>
    </row>
    <row r="107">
      <c r="A107" t="str">
        <v>Carlos Andrés Rodríguez</v>
      </c>
    </row>
    <row r="108">
      <c r="A108" t="str">
        <v>Imprimir en tamaño 8.5x13</v>
      </c>
    </row>
  </sheetData>
  <mergeCells count="345">
    <mergeCell ref="W73:AC73"/>
    <mergeCell ref="AD73:AK73"/>
    <mergeCell ref="H74:AK74"/>
    <mergeCell ref="AJ97:AK97"/>
    <mergeCell ref="A98:AK98"/>
    <mergeCell ref="A99:D99"/>
    <mergeCell ref="L99:AK99"/>
    <mergeCell ref="H99:K99"/>
    <mergeCell ref="E99:G99"/>
    <mergeCell ref="J97:AA97"/>
    <mergeCell ref="AB97:AC97"/>
    <mergeCell ref="A70:G74"/>
    <mergeCell ref="H70:V71"/>
    <mergeCell ref="W70:AK70"/>
    <mergeCell ref="W71:AK71"/>
    <mergeCell ref="H72:V73"/>
    <mergeCell ref="J93:M93"/>
    <mergeCell ref="N93:V93"/>
    <mergeCell ref="A89:AK89"/>
    <mergeCell ref="A90:E90"/>
    <mergeCell ref="F90:AK90"/>
    <mergeCell ref="AI88:AK88"/>
    <mergeCell ref="AE88:AF88"/>
    <mergeCell ref="AG88:AH88"/>
    <mergeCell ref="A1:G6"/>
    <mergeCell ref="H1:V2"/>
    <mergeCell ref="W1:AK1"/>
    <mergeCell ref="W2:AK2"/>
    <mergeCell ref="H3:V4"/>
    <mergeCell ref="W3:AC3"/>
    <mergeCell ref="AD3:AK3"/>
    <mergeCell ref="W4:AC4"/>
    <mergeCell ref="AD4:AK4"/>
    <mergeCell ref="H6:AK6"/>
    <mergeCell ref="H5:AK5"/>
    <mergeCell ref="A91:AK91"/>
    <mergeCell ref="A92:AK92"/>
    <mergeCell ref="A93:D93"/>
    <mergeCell ref="E93:I93"/>
    <mergeCell ref="W93:AA93"/>
    <mergeCell ref="AB93:AK93"/>
    <mergeCell ref="Y19:AK19"/>
    <mergeCell ref="A19:F19"/>
    <mergeCell ref="AF25:AK25"/>
    <mergeCell ref="AB25:AE25"/>
    <mergeCell ref="U25:AA25"/>
    <mergeCell ref="AC27:AK27"/>
    <mergeCell ref="A27:B27"/>
    <mergeCell ref="C27:T27"/>
    <mergeCell ref="U27:AB27"/>
    <mergeCell ref="A25:D25"/>
    <mergeCell ref="E25:H25"/>
    <mergeCell ref="M25:T25"/>
    <mergeCell ref="A26:AK26"/>
    <mergeCell ref="I25:L25"/>
    <mergeCell ref="W72:AC72"/>
    <mergeCell ref="AD72:AK72"/>
    <mergeCell ref="Z87:AA87"/>
    <mergeCell ref="AB87:AD87"/>
    <mergeCell ref="A88:D88"/>
    <mergeCell ref="E88:F88"/>
    <mergeCell ref="G88:H88"/>
    <mergeCell ref="I88:K88"/>
    <mergeCell ref="L88:M88"/>
    <mergeCell ref="N88:O88"/>
    <mergeCell ref="P88:R88"/>
    <mergeCell ref="N87:O87"/>
    <mergeCell ref="P87:R87"/>
    <mergeCell ref="T88:W88"/>
    <mergeCell ref="X88:Y88"/>
    <mergeCell ref="Z88:AA88"/>
    <mergeCell ref="AB88:AD88"/>
    <mergeCell ref="AB86:AD86"/>
    <mergeCell ref="AE86:AF86"/>
    <mergeCell ref="AG86:AH86"/>
    <mergeCell ref="AI86:AK86"/>
    <mergeCell ref="A87:D87"/>
    <mergeCell ref="E87:F87"/>
    <mergeCell ref="G87:H87"/>
    <mergeCell ref="I87:K87"/>
    <mergeCell ref="L87:M87"/>
    <mergeCell ref="A86:D86"/>
    <mergeCell ref="E86:F86"/>
    <mergeCell ref="G86:H86"/>
    <mergeCell ref="I86:K86"/>
    <mergeCell ref="L86:M86"/>
    <mergeCell ref="N86:O86"/>
    <mergeCell ref="P86:R86"/>
    <mergeCell ref="T86:W86"/>
    <mergeCell ref="X86:Y86"/>
    <mergeCell ref="Z86:AA86"/>
    <mergeCell ref="AE87:AF87"/>
    <mergeCell ref="AG87:AH87"/>
    <mergeCell ref="AI87:AK87"/>
    <mergeCell ref="T87:W87"/>
    <mergeCell ref="X87:Y87"/>
    <mergeCell ref="AD81:AK81"/>
    <mergeCell ref="A82:AC82"/>
    <mergeCell ref="AD82:AK82"/>
    <mergeCell ref="A83:AK83"/>
    <mergeCell ref="A84:AK84"/>
    <mergeCell ref="A85:D85"/>
    <mergeCell ref="E85:K85"/>
    <mergeCell ref="L85:R85"/>
    <mergeCell ref="T85:W85"/>
    <mergeCell ref="X85:AD85"/>
    <mergeCell ref="AE85:AK85"/>
    <mergeCell ref="A81:K81"/>
    <mergeCell ref="X81:AC81"/>
    <mergeCell ref="L81:O81"/>
    <mergeCell ref="Q81:T81"/>
    <mergeCell ref="V81:W81"/>
    <mergeCell ref="A80:G80"/>
    <mergeCell ref="H80:AC80"/>
    <mergeCell ref="AD80:AK80"/>
    <mergeCell ref="V78:X78"/>
    <mergeCell ref="Y78:Z78"/>
    <mergeCell ref="AA78:AC78"/>
    <mergeCell ref="AD78:AK78"/>
    <mergeCell ref="A79:E79"/>
    <mergeCell ref="F79:G79"/>
    <mergeCell ref="I79:L79"/>
    <mergeCell ref="N79:S79"/>
    <mergeCell ref="AD79:AK79"/>
    <mergeCell ref="A78:G78"/>
    <mergeCell ref="H78:J78"/>
    <mergeCell ref="K78:M78"/>
    <mergeCell ref="N78:O78"/>
    <mergeCell ref="P78:R78"/>
    <mergeCell ref="S78:U78"/>
    <mergeCell ref="U79:V79"/>
    <mergeCell ref="X79:AB79"/>
    <mergeCell ref="A76:AK76"/>
    <mergeCell ref="F77:H77"/>
    <mergeCell ref="J77:L77"/>
    <mergeCell ref="N77:P77"/>
    <mergeCell ref="R77:T77"/>
    <mergeCell ref="V77:X77"/>
    <mergeCell ref="Z77:AB77"/>
    <mergeCell ref="AD77:AK77"/>
    <mergeCell ref="A77:D77"/>
    <mergeCell ref="A68:H68"/>
    <mergeCell ref="I68:K68"/>
    <mergeCell ref="L68:T68"/>
    <mergeCell ref="U68:AC68"/>
    <mergeCell ref="AD68:AK68"/>
    <mergeCell ref="A69:H69"/>
    <mergeCell ref="I69:K69"/>
    <mergeCell ref="L69:T69"/>
    <mergeCell ref="U69:AC69"/>
    <mergeCell ref="AD69:AK69"/>
    <mergeCell ref="A66:H66"/>
    <mergeCell ref="I66:K66"/>
    <mergeCell ref="L66:T66"/>
    <mergeCell ref="U66:AC66"/>
    <mergeCell ref="AD66:AK66"/>
    <mergeCell ref="A67:H67"/>
    <mergeCell ref="I67:K67"/>
    <mergeCell ref="L67:T67"/>
    <mergeCell ref="U67:AC67"/>
    <mergeCell ref="AD67:AK67"/>
    <mergeCell ref="A64:H64"/>
    <mergeCell ref="I64:K64"/>
    <mergeCell ref="L64:T64"/>
    <mergeCell ref="U64:AC64"/>
    <mergeCell ref="AD64:AK64"/>
    <mergeCell ref="A65:H65"/>
    <mergeCell ref="I65:K65"/>
    <mergeCell ref="L65:T65"/>
    <mergeCell ref="U65:AC65"/>
    <mergeCell ref="AD65:AK65"/>
    <mergeCell ref="A61:AK61"/>
    <mergeCell ref="A62:AK62"/>
    <mergeCell ref="A63:H63"/>
    <mergeCell ref="I63:K63"/>
    <mergeCell ref="L63:T63"/>
    <mergeCell ref="U63:AC63"/>
    <mergeCell ref="AD63:AK63"/>
    <mergeCell ref="A59:N59"/>
    <mergeCell ref="O59:R59"/>
    <mergeCell ref="S59:AA59"/>
    <mergeCell ref="AB59:AK59"/>
    <mergeCell ref="A60:N60"/>
    <mergeCell ref="O60:R60"/>
    <mergeCell ref="S60:AA60"/>
    <mergeCell ref="AB60:AK60"/>
    <mergeCell ref="A56:AK56"/>
    <mergeCell ref="A57:N57"/>
    <mergeCell ref="O57:R57"/>
    <mergeCell ref="S57:AA57"/>
    <mergeCell ref="AB57:AK57"/>
    <mergeCell ref="A58:N58"/>
    <mergeCell ref="O58:R58"/>
    <mergeCell ref="S58:AA58"/>
    <mergeCell ref="AB58:AK58"/>
    <mergeCell ref="A52:N52"/>
    <mergeCell ref="O52:Q52"/>
    <mergeCell ref="R52:AA52"/>
    <mergeCell ref="AB52:AK52"/>
    <mergeCell ref="A54:AK54"/>
    <mergeCell ref="A55:AK55"/>
    <mergeCell ref="F53:AK53"/>
    <mergeCell ref="A50:N50"/>
    <mergeCell ref="O50:Q50"/>
    <mergeCell ref="R50:AA50"/>
    <mergeCell ref="AB50:AK50"/>
    <mergeCell ref="A51:N51"/>
    <mergeCell ref="O51:Q51"/>
    <mergeCell ref="R51:AA51"/>
    <mergeCell ref="AB51:AK51"/>
    <mergeCell ref="A53:E53"/>
    <mergeCell ref="A48:N48"/>
    <mergeCell ref="O48:Q48"/>
    <mergeCell ref="R48:AA48"/>
    <mergeCell ref="AB48:AK48"/>
    <mergeCell ref="A49:N49"/>
    <mergeCell ref="O49:Q49"/>
    <mergeCell ref="R49:AA49"/>
    <mergeCell ref="AB49:AK49"/>
    <mergeCell ref="A45:N46"/>
    <mergeCell ref="O45:AK45"/>
    <mergeCell ref="O46:Q46"/>
    <mergeCell ref="R46:AA46"/>
    <mergeCell ref="AB46:AK46"/>
    <mergeCell ref="A47:N47"/>
    <mergeCell ref="O47:Q47"/>
    <mergeCell ref="R47:AA47"/>
    <mergeCell ref="AB47:AK47"/>
    <mergeCell ref="A43:AK43"/>
    <mergeCell ref="A44:AK44"/>
    <mergeCell ref="A41:AK41"/>
    <mergeCell ref="A42:M42"/>
    <mergeCell ref="AG42:AK42"/>
    <mergeCell ref="R42:AF42"/>
    <mergeCell ref="N42:Q42"/>
    <mergeCell ref="A40:D40"/>
    <mergeCell ref="E40:P40"/>
    <mergeCell ref="Q40:AG40"/>
    <mergeCell ref="AH40:AK40"/>
    <mergeCell ref="A38:D38"/>
    <mergeCell ref="E38:P38"/>
    <mergeCell ref="Q38:AG38"/>
    <mergeCell ref="AH38:AK38"/>
    <mergeCell ref="A39:D39"/>
    <mergeCell ref="E39:P39"/>
    <mergeCell ref="Q39:AG39"/>
    <mergeCell ref="AH39:AK39"/>
    <mergeCell ref="A36:D36"/>
    <mergeCell ref="E36:P36"/>
    <mergeCell ref="Q36:AG36"/>
    <mergeCell ref="AH36:AK36"/>
    <mergeCell ref="A37:D37"/>
    <mergeCell ref="E37:P37"/>
    <mergeCell ref="Q37:AG37"/>
    <mergeCell ref="AH37:AK37"/>
    <mergeCell ref="A34:D34"/>
    <mergeCell ref="E34:P34"/>
    <mergeCell ref="Q34:AG34"/>
    <mergeCell ref="AH34:AK34"/>
    <mergeCell ref="A35:D35"/>
    <mergeCell ref="E35:P35"/>
    <mergeCell ref="Q35:AG35"/>
    <mergeCell ref="AH35:AK35"/>
    <mergeCell ref="A28:AK28"/>
    <mergeCell ref="A30:AK30"/>
    <mergeCell ref="A31:AK31"/>
    <mergeCell ref="A32:AK32"/>
    <mergeCell ref="A33:D33"/>
    <mergeCell ref="E33:P33"/>
    <mergeCell ref="Q33:AG33"/>
    <mergeCell ref="AH33:AK33"/>
    <mergeCell ref="Q29:AK29"/>
    <mergeCell ref="A29:P29"/>
    <mergeCell ref="AB17:AD17"/>
    <mergeCell ref="AE17:AF17"/>
    <mergeCell ref="AG17:AI17"/>
    <mergeCell ref="AJ17:AK17"/>
    <mergeCell ref="A14:AK14"/>
    <mergeCell ref="A22:AK22"/>
    <mergeCell ref="A23:AK23"/>
    <mergeCell ref="A24:AK24"/>
    <mergeCell ref="AB21:AC21"/>
    <mergeCell ref="AD21:AE21"/>
    <mergeCell ref="AF21:AG21"/>
    <mergeCell ref="AH21:AI21"/>
    <mergeCell ref="AJ21:AK21"/>
    <mergeCell ref="W21:Y21"/>
    <mergeCell ref="Z21:AA21"/>
    <mergeCell ref="A15:AK15"/>
    <mergeCell ref="A16:AK16"/>
    <mergeCell ref="A17:F17"/>
    <mergeCell ref="G17:K17"/>
    <mergeCell ref="L17:P17"/>
    <mergeCell ref="Q17:S17"/>
    <mergeCell ref="T17:U17"/>
    <mergeCell ref="M19:U19"/>
    <mergeCell ref="V19:X19"/>
    <mergeCell ref="AF103:AK103"/>
    <mergeCell ref="A103:AE103"/>
    <mergeCell ref="A11:G11"/>
    <mergeCell ref="I11:O11"/>
    <mergeCell ref="Q11:W11"/>
    <mergeCell ref="Y11:AB11"/>
    <mergeCell ref="AD11:AJ11"/>
    <mergeCell ref="A13:E13"/>
    <mergeCell ref="G13:I13"/>
    <mergeCell ref="K13:N13"/>
    <mergeCell ref="A18:AK18"/>
    <mergeCell ref="A12:AK12"/>
    <mergeCell ref="A20:AK20"/>
    <mergeCell ref="A21:F21"/>
    <mergeCell ref="G21:I21"/>
    <mergeCell ref="J21:L21"/>
    <mergeCell ref="M21:N21"/>
    <mergeCell ref="O21:P21"/>
    <mergeCell ref="Q21:R21"/>
    <mergeCell ref="S21:T21"/>
    <mergeCell ref="U21:V21"/>
    <mergeCell ref="K19:L19"/>
    <mergeCell ref="V17:Y17"/>
    <mergeCell ref="Z17:AA17"/>
    <mergeCell ref="A108:AK108"/>
    <mergeCell ref="A96:AK96"/>
    <mergeCell ref="A95:AK95"/>
    <mergeCell ref="A94:AK94"/>
    <mergeCell ref="A75:AK75"/>
    <mergeCell ref="A8:AK8"/>
    <mergeCell ref="A7:AK7"/>
    <mergeCell ref="A9:AK9"/>
    <mergeCell ref="A10:AK10"/>
    <mergeCell ref="P13:S13"/>
    <mergeCell ref="U13:W13"/>
    <mergeCell ref="Y13:AJ13"/>
    <mergeCell ref="AD97:AI97"/>
    <mergeCell ref="A105:AK105"/>
    <mergeCell ref="A106:Q106"/>
    <mergeCell ref="R106:AK107"/>
    <mergeCell ref="A107:Q107"/>
    <mergeCell ref="Y104:AK104"/>
    <mergeCell ref="A104:X104"/>
    <mergeCell ref="A100:AK100"/>
    <mergeCell ref="A101:AE101"/>
    <mergeCell ref="AF101:AK101"/>
    <mergeCell ref="A102:AK102"/>
    <mergeCell ref="A97:I97"/>
  </mergeCells>
  <pageMargins left="0.7086614173228347" right="0.7086614173228347" top="0.9448818897637796" bottom="0.7480314960629921" header="0.31496062992125984" footer="0.31496062992125984"/>
  <ignoredErrors>
    <ignoredError numberStoredAsText="1" sqref="A1:BS20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Datos</vt:lpstr>
      <vt:lpstr>Parte A. "Inv. al 100%"</vt:lpstr>
      <vt:lpstr>Parte B. "Infor Aprov. y Man."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2023-08-29T15:02:32Z</dcterms:modified>
</cp:coreProperties>
</file>